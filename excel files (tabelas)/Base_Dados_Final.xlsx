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ocuments\2025-2026\1_2025_inverno\IEB\trabalho\excel files (tabelas)\"/>
    </mc:Choice>
  </mc:AlternateContent>
  <xr:revisionPtr revIDLastSave="0" documentId="13_ncr:1_{0497AF46-95A1-407D-B548-43EAE52B6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<sst xmlns="http://schemas.openxmlformats.org/spreadsheetml/2006/main" count="74" uniqueCount="67">
  <si>
    <t>4.º Trimestre de 2024</t>
  </si>
  <si>
    <t>3.º Trimestre de 2024</t>
  </si>
  <si>
    <t>2.º Trimestre de 2024</t>
  </si>
  <si>
    <t>1.º Trimestre de 2024</t>
  </si>
  <si>
    <t>4.º Trimestre de 2023</t>
  </si>
  <si>
    <t>3.º Trimestre de 2023</t>
  </si>
  <si>
    <t>2.º Trimestre de 2023</t>
  </si>
  <si>
    <t>1.º Trimestre de 2023</t>
  </si>
  <si>
    <t>4.º Trimestre de 2022</t>
  </si>
  <si>
    <t>3.º Trimestre de 2022</t>
  </si>
  <si>
    <t>2.º Trimestre de 2022</t>
  </si>
  <si>
    <t>1.º Trimestre de 2022</t>
  </si>
  <si>
    <t>4.º Trimestre de 2021</t>
  </si>
  <si>
    <t>3.º Trimestre de 2021</t>
  </si>
  <si>
    <t>2.º Trimestre de 2021</t>
  </si>
  <si>
    <t>1.º Trimestre de 2021</t>
  </si>
  <si>
    <t>4.º Trimestre de 2020</t>
  </si>
  <si>
    <t>3.º Trimestre de 2020</t>
  </si>
  <si>
    <t>2.º Trimestre de 2020</t>
  </si>
  <si>
    <t>1.º Trimestre de 2020</t>
  </si>
  <si>
    <t>4.º Trimestre de 2019</t>
  </si>
  <si>
    <t>3.º Trimestre de 2019</t>
  </si>
  <si>
    <t>2.º Trimestre de 2019</t>
  </si>
  <si>
    <t>1.º Trimestre de 2019</t>
  </si>
  <si>
    <t>4.º Trimestre de 2018</t>
  </si>
  <si>
    <t>3.º Trimestre de 2018</t>
  </si>
  <si>
    <t>2.º Trimestre de 2018</t>
  </si>
  <si>
    <t>1.º Trimestre de 2018</t>
  </si>
  <si>
    <t>4.º Trimestre de 2017</t>
  </si>
  <si>
    <t>3.º Trimestre de 2017</t>
  </si>
  <si>
    <t>2.º Trimestre de 2017</t>
  </si>
  <si>
    <t>1.º Trimestre de 2017</t>
  </si>
  <si>
    <t>4.º Trimestre de 2016</t>
  </si>
  <si>
    <t>3.º Trimestre de 2016</t>
  </si>
  <si>
    <t>2.º Trimestre de 2016</t>
  </si>
  <si>
    <t>1.º Trimestre de 2016</t>
  </si>
  <si>
    <t>4.º Trimestre de 2015</t>
  </si>
  <si>
    <t>3.º Trimestre de 2015</t>
  </si>
  <si>
    <t>2.º Trimestre de 2015</t>
  </si>
  <si>
    <t>1.º Trimestre de 2015</t>
  </si>
  <si>
    <t>4.º Trimestre de 2014</t>
  </si>
  <si>
    <t>3.º Trimestre de 2014</t>
  </si>
  <si>
    <t>2.º Trimestre de 2014</t>
  </si>
  <si>
    <t>1.º Trimestre de 2014</t>
  </si>
  <si>
    <t>4.º Trimestre de 2013</t>
  </si>
  <si>
    <t>3.º Trimestre de 2013</t>
  </si>
  <si>
    <t>2.º Trimestre de 2013</t>
  </si>
  <si>
    <t>1.º Trimestre de 2013</t>
  </si>
  <si>
    <t>4.º Trimestre de 2012</t>
  </si>
  <si>
    <t>3.º Trimestre de 2012</t>
  </si>
  <si>
    <t>2.º Trimestre de 2012</t>
  </si>
  <si>
    <t>1.º Trimestre de 2012</t>
  </si>
  <si>
    <t>4.º Trimestre de 2011</t>
  </si>
  <si>
    <t>3.º Trimestre de 2011</t>
  </si>
  <si>
    <t>2.º Trimestre de 2011</t>
  </si>
  <si>
    <t>1.º Trimestre de 2011</t>
  </si>
  <si>
    <t>4.º Trimestre de 2010</t>
  </si>
  <si>
    <t>3.º Trimestre de 2010</t>
  </si>
  <si>
    <t>2.º Trimestre de 2010</t>
  </si>
  <si>
    <t>1.º Trimestre de 2010</t>
  </si>
  <si>
    <t>Período de referência dos dados</t>
  </si>
  <si>
    <t>PIB_real</t>
  </si>
  <si>
    <t>Proporção_15_24</t>
  </si>
  <si>
    <t>Emprego_Terciario</t>
  </si>
  <si>
    <t>Rendimento_medio_liquido (euros)</t>
  </si>
  <si>
    <t>NA</t>
  </si>
  <si>
    <t>Taxa_Desemprego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</si>
</sst>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8"/>
      <color indexed="63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3" borderId="1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3845FC99-E066-48FE-9D9D-52E9A57AC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\Documents\2025-2026\1_2025_inverno\IEB\trabalho\excel%20files%20(tabelas)\Propor&#231;&#227;o%20de%20jovens%20na%20popula&#231;&#227;o%20ativa.xls" TargetMode="External"/><Relationship Id="rId1" Type="http://schemas.openxmlformats.org/officeDocument/2006/relationships/externalLinkPath" Target="Propor&#231;&#227;o%20de%20jovens%20na%20popula&#231;&#227;o%20ativ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dro"/>
      <sheetName val="MetaInfo"/>
    </sheetNames>
    <sheetDataSet>
      <sheetData sheetId="0">
        <row r="13">
          <cell r="E13">
            <v>7.1560067805260377E-2</v>
          </cell>
        </row>
        <row r="17">
          <cell r="E17">
            <v>7.017801431455313E-2</v>
          </cell>
        </row>
        <row r="21">
          <cell r="E21">
            <v>6.5806762033421548E-2</v>
          </cell>
        </row>
        <row r="25">
          <cell r="E25">
            <v>6.8771994813854417E-2</v>
          </cell>
        </row>
        <row r="29">
          <cell r="E29">
            <v>7.1394239656893552E-2</v>
          </cell>
        </row>
        <row r="33">
          <cell r="E33">
            <v>7.3984526112185686E-2</v>
          </cell>
        </row>
        <row r="37">
          <cell r="E37">
            <v>7.089398645361672E-2</v>
          </cell>
        </row>
        <row r="41">
          <cell r="E41">
            <v>7.0317035261511951E-2</v>
          </cell>
        </row>
        <row r="45">
          <cell r="E45">
            <v>7.0325932923948981E-2</v>
          </cell>
        </row>
        <row r="49">
          <cell r="E49">
            <v>6.7783078940865646E-2</v>
          </cell>
        </row>
        <row r="53">
          <cell r="E53">
            <v>6.227607196517318E-2</v>
          </cell>
        </row>
        <row r="57">
          <cell r="E57">
            <v>6.1204800679195766E-2</v>
          </cell>
        </row>
        <row r="61">
          <cell r="E61">
            <v>6.3793136818472151E-2</v>
          </cell>
        </row>
        <row r="65">
          <cell r="E65">
            <v>6.6284046692606999E-2</v>
          </cell>
        </row>
        <row r="69">
          <cell r="E69">
            <v>6.5975347290158484E-2</v>
          </cell>
        </row>
        <row r="73">
          <cell r="E73">
            <v>6.0776804154719179E-2</v>
          </cell>
        </row>
        <row r="77">
          <cell r="E77">
            <v>6.5304028725880911E-2</v>
          </cell>
        </row>
        <row r="81">
          <cell r="E81">
            <v>6.6691785983421251E-2</v>
          </cell>
        </row>
        <row r="85">
          <cell r="E85">
            <v>6.1879454537963986E-2</v>
          </cell>
        </row>
        <row r="89">
          <cell r="E89">
            <v>7.0596109929915746E-2</v>
          </cell>
        </row>
        <row r="93">
          <cell r="E93">
            <v>7.3445227617897887E-2</v>
          </cell>
        </row>
        <row r="97">
          <cell r="E97">
            <v>7.5725310149457853E-2</v>
          </cell>
        </row>
        <row r="101">
          <cell r="E101">
            <v>7.0653029110936266E-2</v>
          </cell>
        </row>
        <row r="105">
          <cell r="E105">
            <v>7.2440603046807162E-2</v>
          </cell>
        </row>
        <row r="109">
          <cell r="E109">
            <v>7.3728096914393595E-2</v>
          </cell>
        </row>
        <row r="113">
          <cell r="E113">
            <v>7.7716129539999207E-2</v>
          </cell>
        </row>
        <row r="117">
          <cell r="E117">
            <v>7.0966465525769115E-2</v>
          </cell>
        </row>
        <row r="121">
          <cell r="E121">
            <v>7.226300418343988E-2</v>
          </cell>
        </row>
        <row r="125">
          <cell r="E125">
            <v>7.5110717449069983E-2</v>
          </cell>
        </row>
        <row r="129">
          <cell r="E129">
            <v>7.5542760238991979E-2</v>
          </cell>
        </row>
        <row r="133">
          <cell r="E133">
            <v>7.0928614038576254E-2</v>
          </cell>
        </row>
        <row r="137">
          <cell r="E137">
            <v>7.3237863496748962E-2</v>
          </cell>
        </row>
        <row r="141">
          <cell r="E141">
            <v>7.3652694610778446E-2</v>
          </cell>
        </row>
        <row r="145">
          <cell r="E145">
            <v>7.3879048986756013E-2</v>
          </cell>
        </row>
        <row r="149">
          <cell r="E149">
            <v>7.1733526663444486E-2</v>
          </cell>
        </row>
        <row r="153">
          <cell r="E153">
            <v>7.4019794824436366E-2</v>
          </cell>
        </row>
        <row r="157">
          <cell r="E157">
            <v>7.5255484670919748E-2</v>
          </cell>
        </row>
        <row r="161">
          <cell r="E161">
            <v>7.7032752977086977E-2</v>
          </cell>
        </row>
        <row r="165">
          <cell r="E165">
            <v>7.0678782261801618E-2</v>
          </cell>
        </row>
        <row r="169">
          <cell r="E169">
            <v>7.4746986982153277E-2</v>
          </cell>
        </row>
        <row r="173">
          <cell r="E173">
            <v>7.4717724112990713E-2</v>
          </cell>
        </row>
        <row r="177">
          <cell r="E177">
            <v>8.098351450002006E-2</v>
          </cell>
        </row>
        <row r="181">
          <cell r="E181">
            <v>7.3462724469435886E-2</v>
          </cell>
        </row>
        <row r="185">
          <cell r="E185">
            <v>7.6561586091446324E-2</v>
          </cell>
        </row>
        <row r="189">
          <cell r="E189">
            <v>7.7098594932148434E-2</v>
          </cell>
        </row>
        <row r="193">
          <cell r="E193">
            <v>8.1235536774323366E-2</v>
          </cell>
        </row>
        <row r="197">
          <cell r="E197">
            <v>7.5400756029028279E-2</v>
          </cell>
        </row>
        <row r="201">
          <cell r="E201">
            <v>7.7407957602280489E-2</v>
          </cell>
        </row>
        <row r="205">
          <cell r="E205">
            <v>8.0238395232095347E-2</v>
          </cell>
        </row>
        <row r="209">
          <cell r="E209">
            <v>8.6442057614802753E-2</v>
          </cell>
        </row>
        <row r="213">
          <cell r="E213">
            <v>8.1193698162625491E-2</v>
          </cell>
        </row>
        <row r="217">
          <cell r="E217">
            <v>8.1492371265098534E-2</v>
          </cell>
        </row>
        <row r="221">
          <cell r="E221">
            <v>8.5405106534231154E-2</v>
          </cell>
        </row>
        <row r="225">
          <cell r="E225">
            <v>8.8872690019307296E-2</v>
          </cell>
        </row>
        <row r="229">
          <cell r="E229">
            <v>8.1820857451191997E-2</v>
          </cell>
        </row>
        <row r="233">
          <cell r="E233">
            <v>8.543784206411259E-2</v>
          </cell>
        </row>
        <row r="237">
          <cell r="E237">
            <v>8.7064336620130814E-2</v>
          </cell>
        </row>
        <row r="241">
          <cell r="E241">
            <v>8.8041100171901865E-2</v>
          </cell>
        </row>
        <row r="245">
          <cell r="E245">
            <v>8.8130163876789652E-2</v>
          </cell>
        </row>
        <row r="249">
          <cell r="E249">
            <v>9.1075532702271048E-2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120" zoomScaleNormal="120" workbookViewId="0">
      <selection activeCell="H63" sqref="H63"/>
    </sheetView>
  </sheetViews>
  <sheetFormatPr defaultRowHeight="15" x14ac:dyDescent="0.25"/>
  <cols>
    <col min="1" max="1" width="39.140625" customWidth="1"/>
    <col min="2" max="2" width="18.7109375" customWidth="1"/>
    <col min="3" max="3" width="30.7109375" customWidth="1"/>
    <col min="4" max="4" width="29" customWidth="1"/>
    <col min="5" max="5" width="34" customWidth="1"/>
    <col min="6" max="6" width="28.42578125" customWidth="1"/>
  </cols>
  <sheetData>
    <row r="1" spans="1:6" ht="74.25" customHeigh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66</v>
      </c>
    </row>
    <row r="2" spans="1:6" x14ac:dyDescent="0.25">
      <c r="A2" s="2" t="s">
        <v>0</v>
      </c>
      <c r="B2" s="1">
        <v>61668.1</v>
      </c>
      <c r="C2" s="1">
        <f>[1]Quadro!$E$13</f>
        <v>7.1560067805260377E-2</v>
      </c>
      <c r="D2" s="1">
        <v>72.400000000000006</v>
      </c>
      <c r="E2" s="1">
        <v>1226</v>
      </c>
      <c r="F2" s="4">
        <v>6.7</v>
      </c>
    </row>
    <row r="3" spans="1:6" x14ac:dyDescent="0.25">
      <c r="A3" s="3" t="s">
        <v>1</v>
      </c>
      <c r="B3" s="1">
        <v>60937.8</v>
      </c>
      <c r="C3" s="1">
        <f>[1]Quadro!$E$17</f>
        <v>7.017801431455313E-2</v>
      </c>
      <c r="D3" s="1">
        <v>72.400000000000006</v>
      </c>
      <c r="E3" s="1">
        <v>1194</v>
      </c>
      <c r="F3" s="4">
        <v>6.1</v>
      </c>
    </row>
    <row r="4" spans="1:6" x14ac:dyDescent="0.25">
      <c r="A4" s="2" t="s">
        <v>2</v>
      </c>
      <c r="B4" s="1">
        <v>60820.1</v>
      </c>
      <c r="C4" s="1">
        <f>[1]Quadro!$E$21</f>
        <v>6.5806762033421548E-2</v>
      </c>
      <c r="D4" s="1">
        <v>72.400000000000006</v>
      </c>
      <c r="E4" s="1">
        <v>1178</v>
      </c>
      <c r="F4" s="4">
        <v>6.1</v>
      </c>
    </row>
    <row r="5" spans="1:6" x14ac:dyDescent="0.25">
      <c r="A5" s="3" t="s">
        <v>3</v>
      </c>
      <c r="B5" s="1">
        <v>60481.3</v>
      </c>
      <c r="C5" s="1">
        <f>[1]Quadro!$E$25</f>
        <v>6.8771994813854417E-2</v>
      </c>
      <c r="D5" s="1">
        <v>72.400000000000006</v>
      </c>
      <c r="E5" s="1">
        <v>1140</v>
      </c>
      <c r="F5" s="4">
        <v>6.8</v>
      </c>
    </row>
    <row r="6" spans="1:6" x14ac:dyDescent="0.25">
      <c r="A6" s="2" t="s">
        <v>4</v>
      </c>
      <c r="B6" s="1">
        <v>60131.199999999997</v>
      </c>
      <c r="C6" s="1">
        <f>[1]Quadro!$E$29</f>
        <v>7.1394239656893552E-2</v>
      </c>
      <c r="D6" s="1">
        <v>72</v>
      </c>
      <c r="E6" s="1">
        <v>1091</v>
      </c>
      <c r="F6" s="4">
        <v>6.6</v>
      </c>
    </row>
    <row r="7" spans="1:6" x14ac:dyDescent="0.25">
      <c r="A7" s="3" t="s">
        <v>5</v>
      </c>
      <c r="B7" s="1">
        <v>59692.3</v>
      </c>
      <c r="C7" s="1">
        <f>[1]Quadro!$E$33</f>
        <v>7.3984526112185686E-2</v>
      </c>
      <c r="D7" s="1">
        <v>72</v>
      </c>
      <c r="E7" s="1">
        <v>1082</v>
      </c>
      <c r="F7" s="4">
        <v>6.1</v>
      </c>
    </row>
    <row r="8" spans="1:6" x14ac:dyDescent="0.25">
      <c r="A8" s="2" t="s">
        <v>6</v>
      </c>
      <c r="B8" s="1">
        <v>59631.199999999997</v>
      </c>
      <c r="C8" s="1">
        <f>[1]Quadro!$E$37</f>
        <v>7.089398645361672E-2</v>
      </c>
      <c r="D8" s="1">
        <v>72</v>
      </c>
      <c r="E8" s="1">
        <v>1076</v>
      </c>
      <c r="F8" s="4">
        <v>6.1</v>
      </c>
    </row>
    <row r="9" spans="1:6" x14ac:dyDescent="0.25">
      <c r="A9" s="3" t="s">
        <v>7</v>
      </c>
      <c r="B9" s="1">
        <v>59343.1</v>
      </c>
      <c r="C9" s="1">
        <f>[1]Quadro!$E$41</f>
        <v>7.0317035261511951E-2</v>
      </c>
      <c r="D9" s="1">
        <v>72</v>
      </c>
      <c r="E9" s="1">
        <v>1057</v>
      </c>
      <c r="F9" s="4">
        <v>7.2</v>
      </c>
    </row>
    <row r="10" spans="1:6" x14ac:dyDescent="0.25">
      <c r="A10" s="2" t="s">
        <v>8</v>
      </c>
      <c r="B10" s="1">
        <v>58598.7</v>
      </c>
      <c r="C10" s="1">
        <f>[1]Quadro!$E$45</f>
        <v>7.0325932923948981E-2</v>
      </c>
      <c r="D10" s="1">
        <v>72.099999999999994</v>
      </c>
      <c r="E10" s="1">
        <v>1036</v>
      </c>
      <c r="F10" s="4">
        <v>6.7</v>
      </c>
    </row>
    <row r="11" spans="1:6" x14ac:dyDescent="0.25">
      <c r="A11" s="3" t="s">
        <v>9</v>
      </c>
      <c r="B11" s="1">
        <v>58182.3</v>
      </c>
      <c r="C11" s="1">
        <f>[1]Quadro!$E$49</f>
        <v>6.7783078940865646E-2</v>
      </c>
      <c r="D11" s="1">
        <v>72.099999999999994</v>
      </c>
      <c r="E11" s="1">
        <v>1035</v>
      </c>
      <c r="F11" s="4">
        <v>5.9</v>
      </c>
    </row>
    <row r="12" spans="1:6" x14ac:dyDescent="0.25">
      <c r="A12" s="2" t="s">
        <v>10</v>
      </c>
      <c r="B12" s="1">
        <v>57529.8</v>
      </c>
      <c r="C12" s="1">
        <f>[1]Quadro!$E$53</f>
        <v>6.227607196517318E-2</v>
      </c>
      <c r="D12" s="1">
        <v>72.099999999999994</v>
      </c>
      <c r="E12" s="1">
        <v>1033</v>
      </c>
      <c r="F12" s="4">
        <v>5.9</v>
      </c>
    </row>
    <row r="13" spans="1:6" x14ac:dyDescent="0.25">
      <c r="A13" s="3" t="s">
        <v>11</v>
      </c>
      <c r="B13" s="1">
        <v>57306.9</v>
      </c>
      <c r="C13" s="1">
        <f>[1]Quadro!$E$57</f>
        <v>6.1204800679195766E-2</v>
      </c>
      <c r="D13" s="1">
        <v>72.099999999999994</v>
      </c>
      <c r="E13" s="1">
        <v>1020</v>
      </c>
      <c r="F13" s="4">
        <v>6</v>
      </c>
    </row>
    <row r="14" spans="1:6" x14ac:dyDescent="0.25">
      <c r="A14" s="2" t="s">
        <v>12</v>
      </c>
      <c r="B14" s="1">
        <v>56478.400000000001</v>
      </c>
      <c r="C14" s="1">
        <f>[1]Quadro!$E$61</f>
        <v>6.3793136818472151E-2</v>
      </c>
      <c r="D14" s="1">
        <v>72.099999999999994</v>
      </c>
      <c r="E14" s="1">
        <v>1003</v>
      </c>
      <c r="F14" s="4">
        <v>6.4</v>
      </c>
    </row>
    <row r="15" spans="1:6" x14ac:dyDescent="0.25">
      <c r="A15" s="3" t="s">
        <v>13</v>
      </c>
      <c r="B15" s="1">
        <v>55392.7</v>
      </c>
      <c r="C15" s="1">
        <f>[1]Quadro!$E$65</f>
        <v>6.6284046692606999E-2</v>
      </c>
      <c r="D15" s="1">
        <v>72.099999999999994</v>
      </c>
      <c r="E15" s="1">
        <v>997</v>
      </c>
      <c r="F15" s="4">
        <v>6.3</v>
      </c>
    </row>
    <row r="16" spans="1:6" x14ac:dyDescent="0.25">
      <c r="A16" s="2" t="s">
        <v>14</v>
      </c>
      <c r="B16" s="1">
        <v>53492.7</v>
      </c>
      <c r="C16" s="1">
        <f>[1]Quadro!$E$69</f>
        <v>6.5975347290158484E-2</v>
      </c>
      <c r="D16" s="1">
        <v>72.099999999999994</v>
      </c>
      <c r="E16" s="1">
        <v>993</v>
      </c>
      <c r="F16" s="4">
        <v>6.9</v>
      </c>
    </row>
    <row r="17" spans="1:6" x14ac:dyDescent="0.25">
      <c r="A17" s="3" t="s">
        <v>15</v>
      </c>
      <c r="B17" s="1">
        <v>51130.1</v>
      </c>
      <c r="C17" s="1">
        <f>[1]Quadro!$E$73</f>
        <v>6.0776804154719179E-2</v>
      </c>
      <c r="D17" s="1">
        <v>72.099999999999994</v>
      </c>
      <c r="E17" s="1">
        <v>971</v>
      </c>
      <c r="F17" s="4">
        <v>7.2</v>
      </c>
    </row>
    <row r="18" spans="1:6" x14ac:dyDescent="0.25">
      <c r="A18" s="2" t="s">
        <v>16</v>
      </c>
      <c r="B18" s="1">
        <v>52665.2</v>
      </c>
      <c r="C18" s="1">
        <f>[1]Quadro!$E$77</f>
        <v>6.5304028725880911E-2</v>
      </c>
      <c r="D18" s="1">
        <v>71.7</v>
      </c>
      <c r="E18" s="1">
        <v>957</v>
      </c>
      <c r="F18" s="4">
        <v>7.3</v>
      </c>
    </row>
    <row r="19" spans="1:6" x14ac:dyDescent="0.25">
      <c r="A19" s="3" t="s">
        <v>17</v>
      </c>
      <c r="B19" s="1">
        <v>52485.8</v>
      </c>
      <c r="C19" s="1">
        <f>[1]Quadro!$E$81</f>
        <v>6.6691785983421251E-2</v>
      </c>
      <c r="D19" s="1">
        <v>71.7</v>
      </c>
      <c r="E19" s="1">
        <v>953</v>
      </c>
      <c r="F19" s="4">
        <v>8.1999999999999993</v>
      </c>
    </row>
    <row r="20" spans="1:6" x14ac:dyDescent="0.25">
      <c r="A20" s="2" t="s">
        <v>18</v>
      </c>
      <c r="B20" s="1">
        <v>45906.2</v>
      </c>
      <c r="C20" s="1">
        <f>[1]Quadro!$E$85</f>
        <v>6.1879454537963986E-2</v>
      </c>
      <c r="D20" s="1">
        <v>71.7</v>
      </c>
      <c r="E20" s="1">
        <v>949</v>
      </c>
      <c r="F20" s="4">
        <v>5.7</v>
      </c>
    </row>
    <row r="21" spans="1:6" x14ac:dyDescent="0.25">
      <c r="A21" s="3" t="s">
        <v>19</v>
      </c>
      <c r="B21" s="1">
        <v>54035.9</v>
      </c>
      <c r="C21" s="1">
        <f>[1]Quadro!$E$89</f>
        <v>7.0596109929915746E-2</v>
      </c>
      <c r="D21" s="1">
        <v>71.7</v>
      </c>
      <c r="E21" s="1">
        <v>933</v>
      </c>
      <c r="F21" s="4">
        <v>6.9</v>
      </c>
    </row>
    <row r="22" spans="1:6" x14ac:dyDescent="0.25">
      <c r="A22" s="2" t="s">
        <v>20</v>
      </c>
      <c r="B22" s="1">
        <v>56437.2</v>
      </c>
      <c r="C22" s="1">
        <f>[1]Quadro!$E$93</f>
        <v>7.3445227617897887E-2</v>
      </c>
      <c r="D22" s="1">
        <v>72</v>
      </c>
      <c r="E22" s="1">
        <v>917</v>
      </c>
      <c r="F22" s="4">
        <v>6.8</v>
      </c>
    </row>
    <row r="23" spans="1:6" x14ac:dyDescent="0.25">
      <c r="A23" s="3" t="s">
        <v>21</v>
      </c>
      <c r="B23" s="1">
        <v>55918</v>
      </c>
      <c r="C23" s="1">
        <f>[1]Quadro!$E$97</f>
        <v>7.5725310149457853E-2</v>
      </c>
      <c r="D23" s="1">
        <v>72</v>
      </c>
      <c r="E23" s="1">
        <v>912</v>
      </c>
      <c r="F23" s="4">
        <v>6.3</v>
      </c>
    </row>
    <row r="24" spans="1:6" x14ac:dyDescent="0.25">
      <c r="A24" s="2" t="s">
        <v>22</v>
      </c>
      <c r="B24" s="1">
        <v>55688.1</v>
      </c>
      <c r="C24" s="1">
        <f>[1]Quadro!$E$101</f>
        <v>7.0653029110936266E-2</v>
      </c>
      <c r="D24" s="1">
        <v>72</v>
      </c>
      <c r="E24" s="1">
        <v>913</v>
      </c>
      <c r="F24" s="4">
        <v>6.4</v>
      </c>
    </row>
    <row r="25" spans="1:6" x14ac:dyDescent="0.25">
      <c r="A25" s="3" t="s">
        <v>23</v>
      </c>
      <c r="B25" s="1">
        <v>55381</v>
      </c>
      <c r="C25" s="1">
        <f>[1]Quadro!$E$105</f>
        <v>7.2440603046807162E-2</v>
      </c>
      <c r="D25" s="1">
        <v>72</v>
      </c>
      <c r="E25" s="1">
        <v>904</v>
      </c>
      <c r="F25" s="4">
        <v>6.9</v>
      </c>
    </row>
    <row r="26" spans="1:6" x14ac:dyDescent="0.25">
      <c r="A26" s="2" t="s">
        <v>24</v>
      </c>
      <c r="B26" s="1">
        <v>54928.5</v>
      </c>
      <c r="C26" s="1">
        <f>[1]Quadro!$E$109</f>
        <v>7.3728096914393595E-2</v>
      </c>
      <c r="D26" s="1">
        <v>71.5</v>
      </c>
      <c r="E26" s="1">
        <v>898</v>
      </c>
      <c r="F26" s="4">
        <v>6.8</v>
      </c>
    </row>
    <row r="27" spans="1:6" x14ac:dyDescent="0.25">
      <c r="A27" s="3" t="s">
        <v>25</v>
      </c>
      <c r="B27" s="1">
        <v>54588.7</v>
      </c>
      <c r="C27" s="1">
        <f>[1]Quadro!$E$113</f>
        <v>7.7716129539999207E-2</v>
      </c>
      <c r="D27" s="1">
        <v>71.5</v>
      </c>
      <c r="E27" s="1">
        <v>893</v>
      </c>
      <c r="F27" s="4">
        <v>6.9</v>
      </c>
    </row>
    <row r="28" spans="1:6" x14ac:dyDescent="0.25">
      <c r="A28" s="2" t="s">
        <v>26</v>
      </c>
      <c r="B28" s="1">
        <v>54224.9</v>
      </c>
      <c r="C28" s="1">
        <f>[1]Quadro!$E$117</f>
        <v>7.0966465525769115E-2</v>
      </c>
      <c r="D28" s="1">
        <v>71.5</v>
      </c>
      <c r="E28" s="1">
        <v>889</v>
      </c>
      <c r="F28" s="4">
        <v>7</v>
      </c>
    </row>
    <row r="29" spans="1:6" x14ac:dyDescent="0.25">
      <c r="A29" s="3" t="s">
        <v>27</v>
      </c>
      <c r="B29" s="1">
        <v>53711.5</v>
      </c>
      <c r="C29" s="1">
        <f>[1]Quadro!$E$121</f>
        <v>7.226300418343988E-2</v>
      </c>
      <c r="D29" s="1">
        <v>71.5</v>
      </c>
      <c r="E29" s="1">
        <v>878</v>
      </c>
      <c r="F29" s="4">
        <v>8.1</v>
      </c>
    </row>
    <row r="30" spans="1:6" x14ac:dyDescent="0.25">
      <c r="A30" s="2" t="s">
        <v>28</v>
      </c>
      <c r="B30" s="1">
        <v>53398.5</v>
      </c>
      <c r="C30" s="1">
        <f>[1]Quadro!$E$125</f>
        <v>7.5110717449069983E-2</v>
      </c>
      <c r="D30" s="1">
        <v>71.400000000000006</v>
      </c>
      <c r="E30" s="1">
        <v>867</v>
      </c>
      <c r="F30" s="4">
        <v>8.3000000000000007</v>
      </c>
    </row>
    <row r="31" spans="1:6" x14ac:dyDescent="0.25">
      <c r="A31" s="3" t="s">
        <v>29</v>
      </c>
      <c r="B31" s="1">
        <v>52900.1</v>
      </c>
      <c r="C31" s="1">
        <f>[1]Quadro!$E$129</f>
        <v>7.5542760238991979E-2</v>
      </c>
      <c r="D31" s="1">
        <v>71.400000000000006</v>
      </c>
      <c r="E31" s="1">
        <v>864</v>
      </c>
      <c r="F31" s="4">
        <v>8.8000000000000007</v>
      </c>
    </row>
    <row r="32" spans="1:6" x14ac:dyDescent="0.25">
      <c r="A32" s="2" t="s">
        <v>30</v>
      </c>
      <c r="B32" s="1">
        <v>52540.9</v>
      </c>
      <c r="C32" s="1">
        <f>[1]Quadro!$E$133</f>
        <v>7.0928614038576254E-2</v>
      </c>
      <c r="D32" s="1">
        <v>71.400000000000006</v>
      </c>
      <c r="E32" s="1">
        <v>853</v>
      </c>
      <c r="F32" s="4">
        <v>9.1999999999999993</v>
      </c>
    </row>
    <row r="33" spans="1:6" x14ac:dyDescent="0.25">
      <c r="A33" s="3" t="s">
        <v>31</v>
      </c>
      <c r="B33" s="1">
        <v>52390.6</v>
      </c>
      <c r="C33" s="1">
        <f>[1]Quadro!$E$137</f>
        <v>7.3237863496748962E-2</v>
      </c>
      <c r="D33" s="1">
        <v>71.400000000000006</v>
      </c>
      <c r="E33" s="1">
        <v>848</v>
      </c>
      <c r="F33" s="4">
        <v>10.4</v>
      </c>
    </row>
    <row r="34" spans="1:6" x14ac:dyDescent="0.25">
      <c r="A34" s="2" t="s">
        <v>32</v>
      </c>
      <c r="B34" s="1">
        <v>51888</v>
      </c>
      <c r="C34" s="1">
        <f>[1]Quadro!$E$141</f>
        <v>7.3652694610778446E-2</v>
      </c>
      <c r="D34" s="1">
        <v>71.5</v>
      </c>
      <c r="E34" s="1">
        <v>846</v>
      </c>
      <c r="F34" s="4">
        <v>10.8</v>
      </c>
    </row>
    <row r="35" spans="1:6" x14ac:dyDescent="0.25">
      <c r="A35" s="3" t="s">
        <v>33</v>
      </c>
      <c r="B35" s="1">
        <v>51307.7</v>
      </c>
      <c r="C35" s="1">
        <f>[1]Quadro!$E$145</f>
        <v>7.3879048986756013E-2</v>
      </c>
      <c r="D35" s="1">
        <v>71.5</v>
      </c>
      <c r="E35" s="1">
        <v>842</v>
      </c>
      <c r="F35" s="4">
        <v>10.9</v>
      </c>
    </row>
    <row r="36" spans="1:6" x14ac:dyDescent="0.25">
      <c r="A36" s="2" t="s">
        <v>34</v>
      </c>
      <c r="B36" s="1">
        <v>50746.5</v>
      </c>
      <c r="C36" s="1">
        <f>[1]Quadro!$E$149</f>
        <v>7.1733526663444486E-2</v>
      </c>
      <c r="D36" s="1">
        <v>71.5</v>
      </c>
      <c r="E36" s="1">
        <v>839</v>
      </c>
      <c r="F36" s="4">
        <v>11.2</v>
      </c>
    </row>
    <row r="37" spans="1:6" x14ac:dyDescent="0.25">
      <c r="A37" s="3" t="s">
        <v>35</v>
      </c>
      <c r="B37" s="1">
        <v>50511</v>
      </c>
      <c r="C37" s="1">
        <f>[1]Quadro!$E$153</f>
        <v>7.4019794824436366E-2</v>
      </c>
      <c r="D37" s="1">
        <v>71.5</v>
      </c>
      <c r="E37" s="1">
        <v>833</v>
      </c>
      <c r="F37" s="4">
        <v>12.9</v>
      </c>
    </row>
    <row r="38" spans="1:6" x14ac:dyDescent="0.25">
      <c r="A38" s="2" t="s">
        <v>36</v>
      </c>
      <c r="B38" s="1">
        <v>50337.3</v>
      </c>
      <c r="C38" s="1">
        <f>[1]Quadro!$E$157</f>
        <v>7.5255484670919748E-2</v>
      </c>
      <c r="D38" s="1">
        <v>71.3</v>
      </c>
      <c r="E38" s="1">
        <v>835</v>
      </c>
      <c r="F38" s="4">
        <v>12.6</v>
      </c>
    </row>
    <row r="39" spans="1:6" x14ac:dyDescent="0.25">
      <c r="A39" s="3" t="s">
        <v>37</v>
      </c>
      <c r="B39" s="1">
        <v>50099.9</v>
      </c>
      <c r="C39" s="1">
        <f>[1]Quadro!$E$161</f>
        <v>7.7032752977086977E-2</v>
      </c>
      <c r="D39" s="1">
        <v>71.3</v>
      </c>
      <c r="E39" s="1">
        <v>830</v>
      </c>
      <c r="F39" s="4">
        <v>12.3</v>
      </c>
    </row>
    <row r="40" spans="1:6" x14ac:dyDescent="0.25">
      <c r="A40" s="2" t="s">
        <v>38</v>
      </c>
      <c r="B40" s="1">
        <v>50017.1</v>
      </c>
      <c r="C40" s="1">
        <f>[1]Quadro!$E$165</f>
        <v>7.0678782261801618E-2</v>
      </c>
      <c r="D40" s="1">
        <v>71.3</v>
      </c>
      <c r="E40" s="1">
        <v>827</v>
      </c>
      <c r="F40" s="4">
        <v>12.4</v>
      </c>
    </row>
    <row r="41" spans="1:6" x14ac:dyDescent="0.25">
      <c r="A41" s="3" t="s">
        <v>39</v>
      </c>
      <c r="B41" s="1">
        <v>49981.9</v>
      </c>
      <c r="C41" s="1">
        <f>[1]Quadro!$E$169</f>
        <v>7.4746986982153277E-2</v>
      </c>
      <c r="D41" s="1">
        <v>71.3</v>
      </c>
      <c r="E41" s="1">
        <v>825</v>
      </c>
      <c r="F41" s="4">
        <v>14.3</v>
      </c>
    </row>
    <row r="42" spans="1:6" x14ac:dyDescent="0.25">
      <c r="A42" s="2" t="s">
        <v>40</v>
      </c>
      <c r="B42" s="1">
        <v>49684</v>
      </c>
      <c r="C42" s="1">
        <f>[1]Quadro!$E$173</f>
        <v>7.4717724112990713E-2</v>
      </c>
      <c r="D42" s="1">
        <v>71.3</v>
      </c>
      <c r="E42" s="1">
        <v>818</v>
      </c>
      <c r="F42" s="4">
        <v>14</v>
      </c>
    </row>
    <row r="43" spans="1:6" x14ac:dyDescent="0.25">
      <c r="A43" s="3" t="s">
        <v>41</v>
      </c>
      <c r="B43" s="1">
        <v>49285.1</v>
      </c>
      <c r="C43" s="1">
        <f>[1]Quadro!$E$177</f>
        <v>8.098351450002006E-2</v>
      </c>
      <c r="D43" s="1">
        <v>71.3</v>
      </c>
      <c r="E43" s="1">
        <v>818</v>
      </c>
      <c r="F43" s="4">
        <v>13.7</v>
      </c>
    </row>
    <row r="44" spans="1:6" x14ac:dyDescent="0.25">
      <c r="A44" s="2" t="s">
        <v>42</v>
      </c>
      <c r="B44" s="1">
        <v>49233.1</v>
      </c>
      <c r="C44" s="1">
        <f>[1]Quadro!$E$181</f>
        <v>7.3462724469435886E-2</v>
      </c>
      <c r="D44" s="1">
        <v>71.3</v>
      </c>
      <c r="E44" s="1">
        <v>812</v>
      </c>
      <c r="F44" s="4">
        <v>14.6</v>
      </c>
    </row>
    <row r="45" spans="1:6" x14ac:dyDescent="0.25">
      <c r="A45" s="3" t="s">
        <v>43</v>
      </c>
      <c r="B45" s="1">
        <v>49097.3</v>
      </c>
      <c r="C45" s="1">
        <f>[1]Quadro!$E$185</f>
        <v>7.6561586091446324E-2</v>
      </c>
      <c r="D45" s="1">
        <v>71.3</v>
      </c>
      <c r="E45" s="1">
        <v>803</v>
      </c>
      <c r="F45" s="4">
        <v>15.8</v>
      </c>
    </row>
    <row r="46" spans="1:6" x14ac:dyDescent="0.25">
      <c r="A46" s="2" t="s">
        <v>44</v>
      </c>
      <c r="B46" s="1">
        <v>49451.9</v>
      </c>
      <c r="C46" s="1">
        <f>[1]Quadro!$E$189</f>
        <v>7.7098594932148434E-2</v>
      </c>
      <c r="D46" s="1">
        <v>70.599999999999994</v>
      </c>
      <c r="E46" s="1">
        <v>810</v>
      </c>
      <c r="F46" s="4">
        <v>16.100000000000001</v>
      </c>
    </row>
    <row r="47" spans="1:6" x14ac:dyDescent="0.25">
      <c r="A47" s="3" t="s">
        <v>45</v>
      </c>
      <c r="B47" s="1">
        <v>48845.1</v>
      </c>
      <c r="C47" s="1">
        <f>[1]Quadro!$E$193</f>
        <v>8.1235536774323366E-2</v>
      </c>
      <c r="D47" s="1">
        <v>70.599999999999994</v>
      </c>
      <c r="E47" s="1">
        <v>809</v>
      </c>
      <c r="F47" s="4">
        <v>16.5</v>
      </c>
    </row>
    <row r="48" spans="1:6" x14ac:dyDescent="0.25">
      <c r="A48" s="2" t="s">
        <v>46</v>
      </c>
      <c r="B48" s="1">
        <v>48983.1</v>
      </c>
      <c r="C48" s="1">
        <f>[1]Quadro!$E$197</f>
        <v>7.5400756029028279E-2</v>
      </c>
      <c r="D48" s="1">
        <v>70.599999999999994</v>
      </c>
      <c r="E48" s="1">
        <v>804</v>
      </c>
      <c r="F48" s="4">
        <v>17.5</v>
      </c>
    </row>
    <row r="49" spans="1:6" x14ac:dyDescent="0.25">
      <c r="A49" s="3" t="s">
        <v>47</v>
      </c>
      <c r="B49" s="1">
        <v>48567.4</v>
      </c>
      <c r="C49" s="1">
        <f>[1]Quadro!$E$201</f>
        <v>7.7407957602280489E-2</v>
      </c>
      <c r="D49" s="1">
        <v>70.599999999999994</v>
      </c>
      <c r="E49" s="1">
        <v>808</v>
      </c>
      <c r="F49" s="4">
        <v>18.5</v>
      </c>
    </row>
    <row r="50" spans="1:6" x14ac:dyDescent="0.25">
      <c r="A50" s="2" t="s">
        <v>48</v>
      </c>
      <c r="B50" s="1">
        <v>48394.6</v>
      </c>
      <c r="C50" s="1">
        <f>[1]Quadro!$E$205</f>
        <v>8.0238395232095347E-2</v>
      </c>
      <c r="D50" s="1">
        <v>68.900000000000006</v>
      </c>
      <c r="E50" s="1">
        <v>826</v>
      </c>
      <c r="F50" s="4">
        <v>17.8</v>
      </c>
    </row>
    <row r="51" spans="1:6" x14ac:dyDescent="0.25">
      <c r="A51" s="3" t="s">
        <v>49</v>
      </c>
      <c r="B51" s="1">
        <v>49203.6</v>
      </c>
      <c r="C51" s="1">
        <f>[1]Quadro!$E$209</f>
        <v>8.6442057614802753E-2</v>
      </c>
      <c r="D51" s="1">
        <v>68.900000000000006</v>
      </c>
      <c r="E51" s="1">
        <v>809</v>
      </c>
      <c r="F51" s="4">
        <v>16.7</v>
      </c>
    </row>
    <row r="52" spans="1:6" x14ac:dyDescent="0.25">
      <c r="A52" s="2" t="s">
        <v>50</v>
      </c>
      <c r="B52" s="1">
        <v>49716.5</v>
      </c>
      <c r="C52" s="1">
        <f>[1]Quadro!$E$213</f>
        <v>8.1193698162625491E-2</v>
      </c>
      <c r="D52" s="1">
        <v>68.900000000000006</v>
      </c>
      <c r="E52" s="1">
        <v>808</v>
      </c>
      <c r="F52" s="4">
        <v>15.8</v>
      </c>
    </row>
    <row r="53" spans="1:6" x14ac:dyDescent="0.25">
      <c r="A53" s="3" t="s">
        <v>51</v>
      </c>
      <c r="B53" s="1">
        <v>50479.3</v>
      </c>
      <c r="C53" s="1">
        <f>[1]Quadro!$E$217</f>
        <v>8.1492371265098534E-2</v>
      </c>
      <c r="D53" s="1">
        <v>68.900000000000006</v>
      </c>
      <c r="E53" s="1">
        <v>808</v>
      </c>
      <c r="F53" s="4">
        <v>15.7</v>
      </c>
    </row>
    <row r="54" spans="1:6" x14ac:dyDescent="0.25">
      <c r="A54" s="2" t="s">
        <v>52</v>
      </c>
      <c r="B54" s="1">
        <v>50749.5</v>
      </c>
      <c r="C54" s="1">
        <f>[1]Quadro!$E$221</f>
        <v>8.5405106534231154E-2</v>
      </c>
      <c r="D54" s="1">
        <v>67.3</v>
      </c>
      <c r="E54" s="1">
        <v>813</v>
      </c>
      <c r="F54" s="4">
        <v>14.7</v>
      </c>
    </row>
    <row r="55" spans="1:6" x14ac:dyDescent="0.25">
      <c r="A55" s="3" t="s">
        <v>53</v>
      </c>
      <c r="B55" s="1">
        <v>51436.800000000003</v>
      </c>
      <c r="C55" s="1">
        <f>[1]Quadro!$E$225</f>
        <v>8.8872690019307296E-2</v>
      </c>
      <c r="D55" s="1">
        <v>67.3</v>
      </c>
      <c r="E55" s="1">
        <v>804</v>
      </c>
      <c r="F55" s="4">
        <v>13.3</v>
      </c>
    </row>
    <row r="56" spans="1:6" x14ac:dyDescent="0.25">
      <c r="A56" s="2" t="s">
        <v>54</v>
      </c>
      <c r="B56" s="1">
        <v>51796.2</v>
      </c>
      <c r="C56" s="1">
        <f>[1]Quadro!$E$229</f>
        <v>8.1820857451191997E-2</v>
      </c>
      <c r="D56" s="1">
        <v>67.3</v>
      </c>
      <c r="E56" s="1">
        <v>811</v>
      </c>
      <c r="F56" s="4">
        <v>12.9</v>
      </c>
    </row>
    <row r="57" spans="1:6" x14ac:dyDescent="0.25">
      <c r="A57" s="3" t="s">
        <v>55</v>
      </c>
      <c r="B57" s="1">
        <v>52162.2</v>
      </c>
      <c r="C57" s="1">
        <f>[1]Quadro!$E$233</f>
        <v>8.543784206411259E-2</v>
      </c>
      <c r="D57" s="1">
        <v>67.3</v>
      </c>
      <c r="E57" s="1">
        <v>816</v>
      </c>
      <c r="F57" s="4">
        <v>13.1</v>
      </c>
    </row>
    <row r="58" spans="1:6" x14ac:dyDescent="0.25">
      <c r="A58" s="2" t="s">
        <v>56</v>
      </c>
      <c r="B58" s="1">
        <v>52397.4</v>
      </c>
      <c r="C58" s="1">
        <f>[1]Quadro!$E$237</f>
        <v>8.7064336620130814E-2</v>
      </c>
      <c r="D58" s="1">
        <v>67.3</v>
      </c>
      <c r="E58" s="1" t="s">
        <v>65</v>
      </c>
      <c r="F58" s="1" t="s">
        <v>65</v>
      </c>
    </row>
    <row r="59" spans="1:6" x14ac:dyDescent="0.25">
      <c r="A59" s="3" t="s">
        <v>57</v>
      </c>
      <c r="B59" s="1">
        <v>52635.9</v>
      </c>
      <c r="C59" s="1">
        <f>[1]Quadro!$E$241</f>
        <v>8.8041100171901865E-2</v>
      </c>
      <c r="D59" s="1">
        <v>67.3</v>
      </c>
      <c r="E59" s="1" t="s">
        <v>65</v>
      </c>
      <c r="F59" s="1" t="s">
        <v>65</v>
      </c>
    </row>
    <row r="60" spans="1:6" x14ac:dyDescent="0.25">
      <c r="A60" s="2" t="s">
        <v>58</v>
      </c>
      <c r="B60" s="1">
        <v>52443.199999999997</v>
      </c>
      <c r="C60" s="1">
        <f>[1]Quadro!$E$245</f>
        <v>8.8130163876789652E-2</v>
      </c>
      <c r="D60" s="1">
        <v>67.3</v>
      </c>
      <c r="E60" s="1" t="s">
        <v>65</v>
      </c>
      <c r="F60" s="1" t="s">
        <v>65</v>
      </c>
    </row>
    <row r="61" spans="1:6" x14ac:dyDescent="0.25">
      <c r="A61" s="3" t="s">
        <v>59</v>
      </c>
      <c r="B61" s="1">
        <v>52262.1</v>
      </c>
      <c r="C61" s="1">
        <f>[1]Quadro!$E$249</f>
        <v>9.1075532702271048E-2</v>
      </c>
      <c r="D61" s="1">
        <v>67.3</v>
      </c>
      <c r="E61" s="1" t="s">
        <v>65</v>
      </c>
      <c r="F61" s="1" t="s">
        <v>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Gentil Pimentel</dc:creator>
  <cp:lastModifiedBy>Antonio Gentil Pimentel</cp:lastModifiedBy>
  <dcterms:created xsi:type="dcterms:W3CDTF">2015-06-05T18:19:34Z</dcterms:created>
  <dcterms:modified xsi:type="dcterms:W3CDTF">2025-12-03T15:40:49Z</dcterms:modified>
</cp:coreProperties>
</file>